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agh\4 semestr\Elementy sztucznej inteligencji\"/>
    </mc:Choice>
  </mc:AlternateContent>
  <xr:revisionPtr revIDLastSave="0" documentId="13_ncr:1_{4A6F8911-E735-4297-B6AF-B974E3392C7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ND" sheetId="1" r:id="rId1"/>
    <sheet name="OR" sheetId="2" r:id="rId2"/>
    <sheet name="XOR" sheetId="3" r:id="rId3"/>
    <sheet name="XOR 2" sheetId="5" r:id="rId4"/>
  </sheets>
  <definedNames>
    <definedName name="coin_cuttype" localSheetId="3" hidden="1">1</definedName>
    <definedName name="coin_dualtol" localSheetId="3" hidden="1">"0.0000001"</definedName>
    <definedName name="coin_heurs" localSheetId="3" hidden="1">1</definedName>
    <definedName name="coin_integerpresolve" localSheetId="3" hidden="1">1</definedName>
    <definedName name="coin_presolve1" localSheetId="3" hidden="1">1</definedName>
    <definedName name="coin_primaltol" localSheetId="3" hidden="1">"0.0000001"</definedName>
    <definedName name="solver_adj" localSheetId="0" hidden="1">AND!$A$12:$C$12</definedName>
    <definedName name="solver_adj" localSheetId="2" hidden="1">XOR!$A$12:$C$12</definedName>
    <definedName name="solver_adj" localSheetId="3" hidden="1">'XOR 2'!$Q$21:$R$21,'XOR 2'!$D$21:$E$21,'XOR 2'!$D$12:$F$12,'XOR 2'!$Q$12:$S$12,'XOR 2'!$Q$3:$S$3</definedName>
    <definedName name="solver_adj1" localSheetId="3" hidden="1">'XOR 2'!$Q$21:$R$21</definedName>
    <definedName name="solver_cvg" localSheetId="0" hidden="1">0.0001</definedName>
    <definedName name="solver_cvg" localSheetId="3" hidden="1">0.0001</definedName>
    <definedName name="solver_drv" localSheetId="0" hidden="1">2</definedName>
    <definedName name="solver_drv" localSheetId="3" hidden="1">1</definedName>
    <definedName name="solver_eng" localSheetId="0" hidden="1">3</definedName>
    <definedName name="solver_eng" localSheetId="1" hidden="1">0</definedName>
    <definedName name="solver_eng" localSheetId="2" hidden="1">0</definedName>
    <definedName name="solver_eng" localSheetId="3" hidden="1">3</definedName>
    <definedName name="solver_est" localSheetId="0" hidden="1">1</definedName>
    <definedName name="solver_est" localSheetId="3" hidden="1">1</definedName>
    <definedName name="solver_itr" localSheetId="0" hidden="1">2147483647</definedName>
    <definedName name="solver_itr" localSheetId="3" hidden="1">2147483647</definedName>
    <definedName name="solver_kiv" localSheetId="3" hidden="1">2E+30</definedName>
    <definedName name="solver_lhs1" localSheetId="0" hidden="1">AND!$A$12:$C$12</definedName>
    <definedName name="solver_lhs1" localSheetId="2" hidden="1">XOR!$A$12:$C$12</definedName>
    <definedName name="solver_lhs2" localSheetId="0" hidden="1">AND!$A$12:$C$12</definedName>
    <definedName name="solver_lhs2" localSheetId="2" hidden="1">XOR!$A$12:$C$12</definedName>
    <definedName name="solver_mip" localSheetId="0" hidden="1">2147483647</definedName>
    <definedName name="solver_mip" localSheetId="3" hidden="1">2147483647</definedName>
    <definedName name="solver_mni" localSheetId="0" hidden="1">10</definedName>
    <definedName name="solver_mni" localSheetId="3" hidden="1">60</definedName>
    <definedName name="solver_mrt" localSheetId="0" hidden="1">0.075</definedName>
    <definedName name="solver_mrt" localSheetId="3" hidden="1">0.075</definedName>
    <definedName name="solver_msl" localSheetId="0" hidden="1">2</definedName>
    <definedName name="solver_msl" localSheetId="3" hidden="1">2</definedName>
    <definedName name="solver_neg" localSheetId="0" hidden="1">1</definedName>
    <definedName name="solver_neg" localSheetId="2" hidden="1">0</definedName>
    <definedName name="solver_neg" localSheetId="3" hidden="1">2</definedName>
    <definedName name="solver_nod" localSheetId="0" hidden="1">2147483647</definedName>
    <definedName name="solver_nod" localSheetId="3" hidden="1">2147483647</definedName>
    <definedName name="solver_ntr" localSheetId="0" hidden="1">2</definedName>
    <definedName name="solver_ntr" localSheetId="3" hidden="1">1</definedName>
    <definedName name="solver_num" localSheetId="0" hidden="1">2</definedName>
    <definedName name="solver_num" localSheetId="2" hidden="1">2</definedName>
    <definedName name="solver_num" localSheetId="3" hidden="1">0</definedName>
    <definedName name="solver_nwt" localSheetId="0" hidden="1">1</definedName>
    <definedName name="solver_nwt" localSheetId="3" hidden="1">1</definedName>
    <definedName name="solver_opt" localSheetId="0" hidden="1">AND!$J$8</definedName>
    <definedName name="solver_opt" localSheetId="2" hidden="1">XOR!$H$8</definedName>
    <definedName name="solver_opt" localSheetId="3" hidden="1">'XOR 2'!$E$8</definedName>
    <definedName name="solver_pre" localSheetId="0" hidden="1">0.00000001</definedName>
    <definedName name="solver_pre" localSheetId="3" hidden="1">0.000001</definedName>
    <definedName name="solver_rbv" localSheetId="0" hidden="1">2</definedName>
    <definedName name="solver_rbv" localSheetId="3" hidden="1">2</definedName>
    <definedName name="solver_rel1" localSheetId="0" hidden="1">1</definedName>
    <definedName name="solver_rel1" localSheetId="2" hidden="1">1</definedName>
    <definedName name="solver_rel2" localSheetId="0" hidden="1">3</definedName>
    <definedName name="solver_rel2" localSheetId="2" hidden="1">3</definedName>
    <definedName name="solver_rhs1" localSheetId="0" hidden="1">1</definedName>
    <definedName name="solver_rhs1" localSheetId="2" hidden="1">1</definedName>
    <definedName name="solver_rhs2" localSheetId="0" hidden="1">-1</definedName>
    <definedName name="solver_rhs2" localSheetId="2" hidden="1">-1</definedName>
    <definedName name="solver_rlx" localSheetId="0" hidden="1">2</definedName>
    <definedName name="solver_rlx" localSheetId="3" hidden="1">2</definedName>
    <definedName name="solver_rsd" localSheetId="0" hidden="1">1</definedName>
    <definedName name="solver_rsd" localSheetId="3" hidden="1">0</definedName>
    <definedName name="solver_rxc1" localSheetId="0" hidden="1">1</definedName>
    <definedName name="solver_rxc1" localSheetId="2" hidden="1">1</definedName>
    <definedName name="solver_rxv" localSheetId="0" hidden="1">1</definedName>
    <definedName name="solver_rxv" localSheetId="2" hidden="1">1</definedName>
    <definedName name="solver_rxv" localSheetId="3" hidden="1">1</definedName>
    <definedName name="solver_rxv1" localSheetId="3" hidden="1">1</definedName>
    <definedName name="solver_scl" localSheetId="0" hidden="1">2</definedName>
    <definedName name="solver_scl" localSheetId="3" hidden="1">1</definedName>
    <definedName name="solver_sho" localSheetId="0" hidden="1">2</definedName>
    <definedName name="solver_sho" localSheetId="3" hidden="1">2</definedName>
    <definedName name="solver_ssz" localSheetId="0" hidden="1">1000</definedName>
    <definedName name="solver_ssz" localSheetId="3" hidden="1">1000</definedName>
    <definedName name="solver_tim" localSheetId="0" hidden="1">2147483647</definedName>
    <definedName name="solver_tim" localSheetId="3" hidden="1">2147483647</definedName>
    <definedName name="solver_tms" localSheetId="3" hidden="1">0</definedName>
    <definedName name="solver_tol" localSheetId="0" hidden="1">0.01</definedName>
    <definedName name="solver_tol" localSheetId="3" hidden="1">0.01</definedName>
    <definedName name="solver_typ" localSheetId="0" hidden="1">2</definedName>
    <definedName name="solver_typ" localSheetId="2" hidden="1">3</definedName>
    <definedName name="solver_typ" localSheetId="3" hidden="1">2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3" hidden="1">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" i="5" l="1"/>
  <c r="N24" i="5"/>
  <c r="N25" i="5"/>
  <c r="N22" i="5"/>
  <c r="O22" i="5" s="1"/>
  <c r="H4" i="3"/>
  <c r="A22" i="5"/>
  <c r="B22" i="5" s="1"/>
  <c r="E4" i="1"/>
  <c r="A23" i="5"/>
  <c r="B23" i="5" s="1"/>
  <c r="A24" i="5"/>
  <c r="B24" i="5" s="1"/>
  <c r="A25" i="5"/>
  <c r="B25" i="5" s="1"/>
  <c r="D7" i="3"/>
  <c r="G7" i="3" s="1"/>
  <c r="H7" i="3" s="1"/>
  <c r="D6" i="3"/>
  <c r="E6" i="3" s="1"/>
  <c r="F6" i="3" s="1"/>
  <c r="D5" i="3"/>
  <c r="I5" i="3" s="1"/>
  <c r="J5" i="3" s="1"/>
  <c r="D4" i="3"/>
  <c r="I4" i="3" s="1"/>
  <c r="J4" i="3" s="1"/>
  <c r="I7" i="2"/>
  <c r="J7" i="2" s="1"/>
  <c r="H7" i="2"/>
  <c r="G7" i="2"/>
  <c r="D7" i="2"/>
  <c r="E7" i="2" s="1"/>
  <c r="F7" i="2" s="1"/>
  <c r="H6" i="2"/>
  <c r="G6" i="2"/>
  <c r="D6" i="2"/>
  <c r="E6" i="2" s="1"/>
  <c r="F6" i="2" s="1"/>
  <c r="I5" i="2"/>
  <c r="J5" i="2" s="1"/>
  <c r="D5" i="2"/>
  <c r="G5" i="2" s="1"/>
  <c r="H5" i="2" s="1"/>
  <c r="D4" i="2"/>
  <c r="G4" i="2" s="1"/>
  <c r="H4" i="2" s="1"/>
  <c r="D5" i="1"/>
  <c r="D6" i="1"/>
  <c r="D7" i="1"/>
  <c r="D4" i="1"/>
  <c r="E5" i="1"/>
  <c r="F5" i="1" s="1"/>
  <c r="E6" i="1"/>
  <c r="F6" i="1" s="1"/>
  <c r="E7" i="1"/>
  <c r="F7" i="1" s="1"/>
  <c r="A13" i="5" l="1"/>
  <c r="B13" i="5" s="1"/>
  <c r="N13" i="5"/>
  <c r="O13" i="5" s="1"/>
  <c r="F4" i="1"/>
  <c r="G4" i="3"/>
  <c r="E4" i="3"/>
  <c r="F4" i="3" s="1"/>
  <c r="E7" i="3"/>
  <c r="F7" i="3" s="1"/>
  <c r="I7" i="3"/>
  <c r="J7" i="3" s="1"/>
  <c r="G6" i="3"/>
  <c r="H6" i="3" s="1"/>
  <c r="E5" i="3"/>
  <c r="F5" i="3" s="1"/>
  <c r="I6" i="3"/>
  <c r="J6" i="3" s="1"/>
  <c r="G5" i="3"/>
  <c r="H5" i="3" s="1"/>
  <c r="I4" i="2"/>
  <c r="J4" i="2" s="1"/>
  <c r="J8" i="2" s="1"/>
  <c r="I6" i="2"/>
  <c r="J6" i="2" s="1"/>
  <c r="E5" i="2"/>
  <c r="F5" i="2" s="1"/>
  <c r="E4" i="2"/>
  <c r="F4" i="2" s="1"/>
  <c r="F8" i="2" s="1"/>
  <c r="H8" i="3"/>
  <c r="I5" i="1"/>
  <c r="J5" i="1" s="1"/>
  <c r="I4" i="1"/>
  <c r="J4" i="1" s="1"/>
  <c r="G4" i="1"/>
  <c r="H4" i="1" s="1"/>
  <c r="I7" i="1"/>
  <c r="J7" i="1" s="1"/>
  <c r="I6" i="1"/>
  <c r="J6" i="1" s="1"/>
  <c r="G7" i="1"/>
  <c r="H7" i="1" s="1"/>
  <c r="G6" i="1"/>
  <c r="H6" i="1" s="1"/>
  <c r="G5" i="1"/>
  <c r="H5" i="1" s="1"/>
  <c r="N4" i="5" l="1"/>
  <c r="O4" i="5" s="1"/>
  <c r="E4" i="5" s="1"/>
  <c r="F8" i="3"/>
  <c r="J8" i="3"/>
  <c r="H8" i="2"/>
  <c r="F8" i="1"/>
  <c r="H8" i="1"/>
  <c r="J8" i="1" l="1"/>
  <c r="O25" i="5" l="1"/>
  <c r="N16" i="5" s="1"/>
  <c r="O16" i="5" s="1"/>
  <c r="O24" i="5"/>
  <c r="A15" i="5" s="1"/>
  <c r="B15" i="5" s="1"/>
  <c r="O23" i="5"/>
  <c r="N14" i="5" s="1"/>
  <c r="O14" i="5" s="1"/>
  <c r="A16" i="5" l="1"/>
  <c r="B16" i="5" s="1"/>
  <c r="N7" i="5" s="1"/>
  <c r="O7" i="5" s="1"/>
  <c r="E7" i="5" s="1"/>
  <c r="A14" i="5"/>
  <c r="B14" i="5" s="1"/>
  <c r="N5" i="5" s="1"/>
  <c r="O5" i="5" s="1"/>
  <c r="E5" i="5" s="1"/>
  <c r="N15" i="5"/>
  <c r="O15" i="5" s="1"/>
  <c r="N6" i="5" s="1"/>
  <c r="O6" i="5" s="1"/>
  <c r="E6" i="5" s="1"/>
  <c r="E8" i="5" l="1"/>
</calcChain>
</file>

<file path=xl/sharedStrings.xml><?xml version="1.0" encoding="utf-8"?>
<sst xmlns="http://schemas.openxmlformats.org/spreadsheetml/2006/main" count="126" uniqueCount="49">
  <si>
    <t>Problem</t>
  </si>
  <si>
    <t>AND</t>
  </si>
  <si>
    <t>Funkcja aktywacji</t>
  </si>
  <si>
    <t>Skok jedn.</t>
  </si>
  <si>
    <t>Liniowa</t>
  </si>
  <si>
    <t>Logistyczna</t>
  </si>
  <si>
    <t>X1</t>
  </si>
  <si>
    <t>X2</t>
  </si>
  <si>
    <t>Y</t>
  </si>
  <si>
    <t>Ys</t>
  </si>
  <si>
    <t>Kw.różnic</t>
  </si>
  <si>
    <t>Kwadrat błędu</t>
  </si>
  <si>
    <t>Wagi i bias</t>
  </si>
  <si>
    <t>W0</t>
  </si>
  <si>
    <t>W1</t>
  </si>
  <si>
    <t>W2</t>
  </si>
  <si>
    <t>Bias (X0)</t>
  </si>
  <si>
    <t>Logist.</t>
  </si>
  <si>
    <t>Sygnał</t>
  </si>
  <si>
    <t>OR</t>
  </si>
  <si>
    <t>XOR</t>
  </si>
  <si>
    <t>Neuron 5</t>
  </si>
  <si>
    <t>W01</t>
  </si>
  <si>
    <t>W02</t>
  </si>
  <si>
    <t>W03</t>
  </si>
  <si>
    <t>W13</t>
  </si>
  <si>
    <t>W14</t>
  </si>
  <si>
    <t>W23</t>
  </si>
  <si>
    <t>W24</t>
  </si>
  <si>
    <t>W04</t>
  </si>
  <si>
    <t>W05</t>
  </si>
  <si>
    <t>W35</t>
  </si>
  <si>
    <t>W45</t>
  </si>
  <si>
    <t>Bias (X01)</t>
  </si>
  <si>
    <t>Bias (X02)</t>
  </si>
  <si>
    <t>Bias (X03)</t>
  </si>
  <si>
    <t>Bias (X04)</t>
  </si>
  <si>
    <t>Neuron 1</t>
  </si>
  <si>
    <t>Neuron 2</t>
  </si>
  <si>
    <t>O1</t>
  </si>
  <si>
    <t>O2</t>
  </si>
  <si>
    <t>Neuron 3</t>
  </si>
  <si>
    <t>Neuron 4</t>
  </si>
  <si>
    <t>O3</t>
  </si>
  <si>
    <t>O4</t>
  </si>
  <si>
    <t>Bias (X05)</t>
  </si>
  <si>
    <t>y = {0/1}</t>
  </si>
  <si>
    <t>y = x</t>
  </si>
  <si>
    <r>
      <t>y = 1/(1+e</t>
    </r>
    <r>
      <rPr>
        <vertAlign val="superscript"/>
        <sz val="10"/>
        <rFont val="Helv"/>
        <charset val="238"/>
      </rPr>
      <t>-x</t>
    </r>
    <r>
      <rPr>
        <sz val="11"/>
        <color theme="1"/>
        <rFont val="Calibri"/>
        <family val="2"/>
        <charset val="238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</si>
</sst>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238"/>
      <scheme val="minor"/>
    </font>
    <font>
      <b/>
      <sz val="10"/>
      <name val="Helv"/>
      <charset val="238"/>
    </font>
    <font>
      <vertAlign val="superscript"/>
      <sz val="10"/>
      <name val="Helv"/>
      <charset val="238"/>
    </font>
    <font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6" xfId="0" applyNumberFormat="1" applyBorder="1"/>
    <xf numFmtId="164" fontId="0" fillId="0" borderId="7" xfId="0" applyNumberFormat="1" applyBorder="1"/>
    <xf numFmtId="0" fontId="0" fillId="0" borderId="8" xfId="0" applyBorder="1"/>
    <xf numFmtId="164" fontId="0" fillId="6" borderId="9" xfId="0" applyNumberFormat="1" applyFill="1" applyBorder="1"/>
    <xf numFmtId="164" fontId="0" fillId="0" borderId="10" xfId="0" applyNumberFormat="1" applyBorder="1"/>
    <xf numFmtId="0" fontId="0" fillId="6" borderId="9" xfId="0" applyFill="1" applyBorder="1"/>
    <xf numFmtId="0" fontId="0" fillId="6" borderId="11" xfId="0" applyFill="1" applyBorder="1"/>
    <xf numFmtId="0" fontId="0" fillId="6" borderId="3" xfId="0" applyFill="1" applyBorder="1"/>
    <xf numFmtId="2" fontId="0" fillId="5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3" xfId="0" applyNumberFormat="1" applyBorder="1" applyAlignment="1">
      <alignment vertical="center"/>
    </xf>
    <xf numFmtId="164" fontId="0" fillId="2" borderId="3" xfId="0" applyNumberFormat="1" applyFill="1" applyBorder="1" applyAlignment="1">
      <alignment vertical="center"/>
    </xf>
    <xf numFmtId="2" fontId="3" fillId="9" borderId="1" xfId="0" applyNumberFormat="1" applyFont="1" applyFill="1" applyBorder="1" applyAlignment="1">
      <alignment horizontal="center" vertical="center"/>
    </xf>
    <xf numFmtId="2" fontId="3" fillId="9" borderId="16" xfId="0" applyNumberFormat="1" applyFont="1" applyFill="1" applyBorder="1" applyAlignment="1">
      <alignment horizontal="center" vertical="center"/>
    </xf>
    <xf numFmtId="2" fontId="0" fillId="0" borderId="6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478790</xdr:colOff>
      <xdr:row>0</xdr:row>
      <xdr:rowOff>77469</xdr:rowOff>
    </xdr:from>
    <xdr:to>
      <xdr:col>16</xdr:col>
      <xdr:colOff>34290</xdr:colOff>
      <xdr:row>16</xdr:row>
      <xdr:rowOff>117792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2570" y="77469"/>
          <a:ext cx="2603500" cy="2989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16</xdr:col>
      <xdr:colOff>165100</xdr:colOff>
      <xdr:row>17</xdr:row>
      <xdr:rowOff>47943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0350" y="190500"/>
          <a:ext cx="2603500" cy="30070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16</xdr:col>
      <xdr:colOff>165100</xdr:colOff>
      <xdr:row>17</xdr:row>
      <xdr:rowOff>47943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6700" y="190500"/>
          <a:ext cx="2603500" cy="30070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304485</xdr:colOff>
          <xdr:row>0</xdr:row>
          <xdr:rowOff>78557</xdr:rowOff>
        </xdr:from>
        <xdr:to>
          <xdr:col>12</xdr:col>
          <xdr:colOff>274005</xdr:colOff>
          <xdr:row>27</xdr:row>
          <xdr:rowOff>93797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FB1587-77B7-4F3D-A950-2858B48BC71D}">
  <we:reference id="WA104100404" version="3.0.0.1" store="Omex" storeType="OMEX"/>
  <we:alternateReferences>
    <we:reference id="WA104100404" version="3.0.0.1" store="WA104100404" storeType="OMEX"/>
  </we:alternateReferences>
  <we:properties>
    <we:property name="UniqueID" value="&quot;202623177254902475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E5" sqref="E5"/>
    </sheetView>
  </sheetViews>
  <sheetFormatPr defaultRowHeight="14.4" x14ac:dyDescent="0.3"/>
  <cols>
    <col min="4" max="4" width="11.109375" customWidth="1"/>
    <col min="8" max="8" width="11" customWidth="1"/>
    <col min="11" max="11" width="14.44140625" customWidth="1"/>
  </cols>
  <sheetData>
    <row r="1" spans="1:11" ht="15" thickBot="1" x14ac:dyDescent="0.35">
      <c r="A1" s="1" t="s">
        <v>0</v>
      </c>
      <c r="B1" s="1" t="s">
        <v>1</v>
      </c>
    </row>
    <row r="2" spans="1:11" x14ac:dyDescent="0.3">
      <c r="A2" s="1"/>
      <c r="E2" s="38" t="s">
        <v>3</v>
      </c>
      <c r="F2" s="39"/>
      <c r="G2" s="38" t="s">
        <v>4</v>
      </c>
      <c r="H2" s="39"/>
      <c r="I2" s="38" t="s">
        <v>5</v>
      </c>
      <c r="J2" s="39"/>
    </row>
    <row r="3" spans="1:11" x14ac:dyDescent="0.3">
      <c r="A3" s="2" t="s">
        <v>6</v>
      </c>
      <c r="B3" s="2" t="s">
        <v>7</v>
      </c>
      <c r="C3" s="2" t="s">
        <v>8</v>
      </c>
      <c r="D3" s="3" t="s">
        <v>18</v>
      </c>
      <c r="E3" s="14" t="s">
        <v>9</v>
      </c>
      <c r="F3" s="15" t="s">
        <v>10</v>
      </c>
      <c r="G3" s="14" t="s">
        <v>9</v>
      </c>
      <c r="H3" s="15" t="s">
        <v>10</v>
      </c>
      <c r="I3" s="14" t="s">
        <v>9</v>
      </c>
      <c r="J3" s="15" t="s">
        <v>10</v>
      </c>
    </row>
    <row r="4" spans="1:11" x14ac:dyDescent="0.3">
      <c r="A4" s="2">
        <v>0</v>
      </c>
      <c r="B4" s="2">
        <v>0</v>
      </c>
      <c r="C4" s="2">
        <v>0</v>
      </c>
      <c r="D4" s="4">
        <f>$A$12*$A$14+A4*$B$12+B4*$C$12</f>
        <v>0.01</v>
      </c>
      <c r="E4" s="37">
        <f>IF(D4&gt;0,1,0)</f>
        <v>1</v>
      </c>
      <c r="F4" s="17">
        <f>(C4-E4)^2</f>
        <v>1</v>
      </c>
      <c r="G4" s="16">
        <f>D4</f>
        <v>0.01</v>
      </c>
      <c r="H4" s="17">
        <f>(C4-G4)^2</f>
        <v>1E-4</v>
      </c>
      <c r="I4" s="16">
        <f>1/(1-EXP(1)^(-D4))</f>
        <v>100.50083333194499</v>
      </c>
      <c r="J4" s="17">
        <f>(C4-I4)^2</f>
        <v>10100.417500415386</v>
      </c>
    </row>
    <row r="5" spans="1:11" x14ac:dyDescent="0.3">
      <c r="A5" s="2">
        <v>1</v>
      </c>
      <c r="B5" s="2">
        <v>0</v>
      </c>
      <c r="C5" s="2">
        <v>0</v>
      </c>
      <c r="D5" s="4">
        <f t="shared" ref="D5:D7" si="0">$A$12*$A$14+A5*$B$12+B5*$C$12</f>
        <v>0.02</v>
      </c>
      <c r="E5" s="16">
        <f t="shared" ref="E5:E7" si="1">IF(D5&gt;0,1,0)</f>
        <v>1</v>
      </c>
      <c r="F5" s="17">
        <f t="shared" ref="F5:F7" si="2">(C5-E5)^2</f>
        <v>1</v>
      </c>
      <c r="G5" s="16">
        <f t="shared" ref="G5:G7" si="3">D5</f>
        <v>0.02</v>
      </c>
      <c r="H5" s="17">
        <f t="shared" ref="H5:H7" si="4">(C5-G5)^2</f>
        <v>4.0000000000000002E-4</v>
      </c>
      <c r="I5" s="16">
        <f>1/(1-EXP(1)^(-D5))</f>
        <v>50.501666655555816</v>
      </c>
      <c r="J5" s="17">
        <f t="shared" ref="J5:J7" si="5">(C5-I5)^2</f>
        <v>2550.4183349888781</v>
      </c>
    </row>
    <row r="6" spans="1:11" x14ac:dyDescent="0.3">
      <c r="A6" s="2">
        <v>0</v>
      </c>
      <c r="B6" s="2">
        <v>1</v>
      </c>
      <c r="C6" s="2">
        <v>0</v>
      </c>
      <c r="D6" s="4">
        <f t="shared" si="0"/>
        <v>0.03</v>
      </c>
      <c r="E6" s="16">
        <f t="shared" si="1"/>
        <v>1</v>
      </c>
      <c r="F6" s="17">
        <f t="shared" si="2"/>
        <v>1</v>
      </c>
      <c r="G6" s="16">
        <f t="shared" si="3"/>
        <v>0.03</v>
      </c>
      <c r="H6" s="17">
        <f t="shared" si="4"/>
        <v>8.9999999999999998E-4</v>
      </c>
      <c r="I6" s="16">
        <f t="shared" ref="I6:I7" si="6">1/(1-EXP(1)^(-D6))</f>
        <v>33.835833295834114</v>
      </c>
      <c r="J6" s="17">
        <f t="shared" si="5"/>
        <v>1144.8636148234764</v>
      </c>
    </row>
    <row r="7" spans="1:11" ht="15" thickBot="1" x14ac:dyDescent="0.35">
      <c r="A7" s="2">
        <v>1</v>
      </c>
      <c r="B7" s="2">
        <v>1</v>
      </c>
      <c r="C7" s="2">
        <v>1</v>
      </c>
      <c r="D7" s="4">
        <f t="shared" si="0"/>
        <v>0.04</v>
      </c>
      <c r="E7" s="16">
        <f t="shared" si="1"/>
        <v>1</v>
      </c>
      <c r="F7" s="17">
        <f t="shared" si="2"/>
        <v>0</v>
      </c>
      <c r="G7" s="16">
        <f t="shared" si="3"/>
        <v>0.04</v>
      </c>
      <c r="H7" s="17">
        <f t="shared" si="4"/>
        <v>0.92159999999999997</v>
      </c>
      <c r="I7" s="16">
        <f t="shared" si="6"/>
        <v>25.503333244447809</v>
      </c>
      <c r="J7" s="17">
        <f t="shared" si="5"/>
        <v>600.41334008846115</v>
      </c>
    </row>
    <row r="8" spans="1:11" ht="15" thickBot="1" x14ac:dyDescent="0.35">
      <c r="E8" s="18"/>
      <c r="F8" s="19">
        <f>SUM(F4:F7)</f>
        <v>3</v>
      </c>
      <c r="G8" s="20"/>
      <c r="H8" s="19">
        <f>SUM(H4:H7)</f>
        <v>0.92299999999999993</v>
      </c>
      <c r="I8" s="20"/>
      <c r="J8" s="19">
        <f>SUM(J4:J7)</f>
        <v>14396.112790316201</v>
      </c>
      <c r="K8" s="21" t="s">
        <v>11</v>
      </c>
    </row>
    <row r="9" spans="1:11" x14ac:dyDescent="0.3">
      <c r="J9" s="5"/>
    </row>
    <row r="10" spans="1:11" x14ac:dyDescent="0.3">
      <c r="A10" s="1" t="s">
        <v>12</v>
      </c>
      <c r="J10" s="5"/>
    </row>
    <row r="11" spans="1:11" x14ac:dyDescent="0.3">
      <c r="A11" s="6" t="s">
        <v>13</v>
      </c>
      <c r="B11" s="6" t="s">
        <v>14</v>
      </c>
      <c r="C11" s="6" t="s">
        <v>15</v>
      </c>
    </row>
    <row r="12" spans="1:11" x14ac:dyDescent="0.3">
      <c r="A12" s="35">
        <v>0.01</v>
      </c>
      <c r="B12" s="36">
        <v>0.01</v>
      </c>
      <c r="C12" s="36">
        <v>0.02</v>
      </c>
    </row>
    <row r="13" spans="1:11" x14ac:dyDescent="0.3">
      <c r="A13" s="2" t="s">
        <v>16</v>
      </c>
      <c r="B13" s="7"/>
    </row>
    <row r="14" spans="1:11" x14ac:dyDescent="0.3">
      <c r="A14" s="6">
        <v>1</v>
      </c>
      <c r="B14" s="7"/>
    </row>
    <row r="15" spans="1:11" x14ac:dyDescent="0.3">
      <c r="A15" s="7"/>
      <c r="B15" s="7"/>
    </row>
    <row r="16" spans="1:11" x14ac:dyDescent="0.3">
      <c r="A16" s="1" t="s">
        <v>2</v>
      </c>
    </row>
    <row r="17" spans="1:2" x14ac:dyDescent="0.3">
      <c r="A17" t="s">
        <v>3</v>
      </c>
      <c r="B17" t="s">
        <v>46</v>
      </c>
    </row>
    <row r="18" spans="1:2" x14ac:dyDescent="0.3">
      <c r="A18" t="s">
        <v>4</v>
      </c>
      <c r="B18" t="s">
        <v>47</v>
      </c>
    </row>
    <row r="19" spans="1:2" ht="15" x14ac:dyDescent="0.3">
      <c r="A19" t="s">
        <v>17</v>
      </c>
      <c r="B19" t="s">
        <v>48</v>
      </c>
    </row>
  </sheetData>
  <mergeCells count="3">
    <mergeCell ref="E2:F2"/>
    <mergeCell ref="G2:H2"/>
    <mergeCell ref="I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>
      <selection activeCell="D4" sqref="D4:J7"/>
    </sheetView>
  </sheetViews>
  <sheetFormatPr defaultRowHeight="14.4" x14ac:dyDescent="0.3"/>
  <cols>
    <col min="4" max="4" width="11.109375" customWidth="1"/>
    <col min="11" max="11" width="14.44140625" customWidth="1"/>
  </cols>
  <sheetData>
    <row r="1" spans="1:11" ht="15" thickBot="1" x14ac:dyDescent="0.35">
      <c r="A1" s="1" t="s">
        <v>0</v>
      </c>
      <c r="B1" s="1" t="s">
        <v>19</v>
      </c>
    </row>
    <row r="2" spans="1:11" x14ac:dyDescent="0.3">
      <c r="A2" s="1"/>
      <c r="C2" s="40" t="s">
        <v>2</v>
      </c>
      <c r="D2" s="41"/>
      <c r="E2" s="38" t="s">
        <v>3</v>
      </c>
      <c r="F2" s="39"/>
      <c r="G2" s="38" t="s">
        <v>4</v>
      </c>
      <c r="H2" s="39"/>
      <c r="I2" s="38" t="s">
        <v>5</v>
      </c>
      <c r="J2" s="39"/>
    </row>
    <row r="3" spans="1:11" x14ac:dyDescent="0.3">
      <c r="A3" s="2" t="s">
        <v>6</v>
      </c>
      <c r="B3" s="2" t="s">
        <v>7</v>
      </c>
      <c r="C3" s="2" t="s">
        <v>8</v>
      </c>
      <c r="D3" s="3" t="s">
        <v>18</v>
      </c>
      <c r="E3" s="14" t="s">
        <v>9</v>
      </c>
      <c r="F3" s="15" t="s">
        <v>10</v>
      </c>
      <c r="G3" s="14" t="s">
        <v>9</v>
      </c>
      <c r="H3" s="15" t="s">
        <v>10</v>
      </c>
      <c r="I3" s="14" t="s">
        <v>9</v>
      </c>
      <c r="J3" s="15" t="s">
        <v>10</v>
      </c>
    </row>
    <row r="4" spans="1:11" x14ac:dyDescent="0.3">
      <c r="A4" s="2">
        <v>0</v>
      </c>
      <c r="B4" s="2">
        <v>0</v>
      </c>
      <c r="C4" s="2">
        <v>0</v>
      </c>
      <c r="D4" s="4">
        <f>$A$12*$A$14+A4*$B$12+B4*$C$12</f>
        <v>1</v>
      </c>
      <c r="E4" s="16">
        <f>IF(D4&gt;0,1,0)</f>
        <v>1</v>
      </c>
      <c r="F4" s="17">
        <f>(C4-E4)^2</f>
        <v>1</v>
      </c>
      <c r="G4" s="16">
        <f>D4</f>
        <v>1</v>
      </c>
      <c r="H4" s="17">
        <f>(C4-G4)^2</f>
        <v>1</v>
      </c>
      <c r="I4" s="16">
        <f>1/(1-EXP(1)^(-D4))</f>
        <v>1.5819767068693265</v>
      </c>
      <c r="J4" s="17">
        <f>(C4-I4)^2</f>
        <v>2.5026503010771188</v>
      </c>
    </row>
    <row r="5" spans="1:11" x14ac:dyDescent="0.3">
      <c r="A5" s="2">
        <v>1</v>
      </c>
      <c r="B5" s="2">
        <v>0</v>
      </c>
      <c r="C5" s="2">
        <v>1</v>
      </c>
      <c r="D5" s="4">
        <f t="shared" ref="D5:D7" si="0">$A$12*$A$14+A5*$B$12+B5*$C$12</f>
        <v>2</v>
      </c>
      <c r="E5" s="16">
        <f t="shared" ref="E5:E7" si="1">IF(D5&gt;0,1,0)</f>
        <v>1</v>
      </c>
      <c r="F5" s="17">
        <f t="shared" ref="F5:F7" si="2">(C5-E5)^2</f>
        <v>0</v>
      </c>
      <c r="G5" s="16">
        <f t="shared" ref="G5:G7" si="3">D5</f>
        <v>2</v>
      </c>
      <c r="H5" s="17">
        <f t="shared" ref="H5:H7" si="4">(C5-G5)^2</f>
        <v>1</v>
      </c>
      <c r="I5" s="16">
        <f>1/(1-EXP(1)^(-D5))</f>
        <v>1.1565176427496657</v>
      </c>
      <c r="J5" s="17">
        <f t="shared" ref="J5:J7" si="5">(C5-I5)^2</f>
        <v>2.4497772491911988E-2</v>
      </c>
    </row>
    <row r="6" spans="1:11" x14ac:dyDescent="0.3">
      <c r="A6" s="2">
        <v>0</v>
      </c>
      <c r="B6" s="2">
        <v>1</v>
      </c>
      <c r="C6" s="2">
        <v>1</v>
      </c>
      <c r="D6" s="4">
        <f t="shared" si="0"/>
        <v>2</v>
      </c>
      <c r="E6" s="16">
        <f t="shared" si="1"/>
        <v>1</v>
      </c>
      <c r="F6" s="17">
        <f t="shared" si="2"/>
        <v>0</v>
      </c>
      <c r="G6" s="16">
        <f t="shared" si="3"/>
        <v>2</v>
      </c>
      <c r="H6" s="17">
        <f t="shared" si="4"/>
        <v>1</v>
      </c>
      <c r="I6" s="16">
        <f t="shared" ref="I6:I7" si="6">1/(1-EXP(1)^(-D6))</f>
        <v>1.1565176427496657</v>
      </c>
      <c r="J6" s="17">
        <f t="shared" si="5"/>
        <v>2.4497772491911988E-2</v>
      </c>
    </row>
    <row r="7" spans="1:11" ht="15" thickBot="1" x14ac:dyDescent="0.35">
      <c r="A7" s="2">
        <v>1</v>
      </c>
      <c r="B7" s="2">
        <v>1</v>
      </c>
      <c r="C7" s="2">
        <v>1</v>
      </c>
      <c r="D7" s="4">
        <f t="shared" si="0"/>
        <v>3</v>
      </c>
      <c r="E7" s="16">
        <f t="shared" si="1"/>
        <v>1</v>
      </c>
      <c r="F7" s="17">
        <f t="shared" si="2"/>
        <v>0</v>
      </c>
      <c r="G7" s="16">
        <f t="shared" si="3"/>
        <v>3</v>
      </c>
      <c r="H7" s="17">
        <f t="shared" si="4"/>
        <v>4</v>
      </c>
      <c r="I7" s="16">
        <f t="shared" si="6"/>
        <v>1.052395696491256</v>
      </c>
      <c r="J7" s="17">
        <f t="shared" si="5"/>
        <v>2.7453090108038132E-3</v>
      </c>
    </row>
    <row r="8" spans="1:11" ht="15" thickBot="1" x14ac:dyDescent="0.35">
      <c r="E8" s="18"/>
      <c r="F8" s="19">
        <f>SUM(F4:F7)</f>
        <v>1</v>
      </c>
      <c r="G8" s="20"/>
      <c r="H8" s="19">
        <f>SUM(H4:H7)</f>
        <v>7</v>
      </c>
      <c r="I8" s="20"/>
      <c r="J8" s="19">
        <f>SUM(J4:J7)</f>
        <v>2.5543911550717464</v>
      </c>
      <c r="K8" s="22" t="s">
        <v>11</v>
      </c>
    </row>
    <row r="9" spans="1:11" x14ac:dyDescent="0.3">
      <c r="J9" s="5"/>
    </row>
    <row r="10" spans="1:11" x14ac:dyDescent="0.3">
      <c r="A10" s="1" t="s">
        <v>12</v>
      </c>
      <c r="J10" s="5"/>
    </row>
    <row r="11" spans="1:11" x14ac:dyDescent="0.3">
      <c r="A11" s="6" t="s">
        <v>13</v>
      </c>
      <c r="B11" s="6" t="s">
        <v>14</v>
      </c>
      <c r="C11" s="6" t="s">
        <v>15</v>
      </c>
    </row>
    <row r="12" spans="1:11" x14ac:dyDescent="0.3">
      <c r="A12" s="13">
        <v>1</v>
      </c>
      <c r="B12" s="13">
        <v>1</v>
      </c>
      <c r="C12" s="13">
        <v>1</v>
      </c>
    </row>
    <row r="13" spans="1:11" x14ac:dyDescent="0.3">
      <c r="A13" s="2" t="s">
        <v>16</v>
      </c>
      <c r="B13" s="7"/>
    </row>
    <row r="14" spans="1:11" x14ac:dyDescent="0.3">
      <c r="A14" s="6">
        <v>1</v>
      </c>
      <c r="B14" s="7"/>
    </row>
    <row r="15" spans="1:11" x14ac:dyDescent="0.3">
      <c r="A15" s="7"/>
      <c r="B15" s="7"/>
    </row>
    <row r="16" spans="1:11" x14ac:dyDescent="0.3">
      <c r="A16" s="1" t="s">
        <v>2</v>
      </c>
    </row>
    <row r="17" spans="1:2" x14ac:dyDescent="0.3">
      <c r="A17" t="s">
        <v>3</v>
      </c>
      <c r="B17" t="s">
        <v>46</v>
      </c>
    </row>
    <row r="18" spans="1:2" x14ac:dyDescent="0.3">
      <c r="A18" t="s">
        <v>4</v>
      </c>
      <c r="B18" t="s">
        <v>47</v>
      </c>
    </row>
    <row r="19" spans="1:2" ht="15" x14ac:dyDescent="0.3">
      <c r="A19" t="s">
        <v>17</v>
      </c>
      <c r="B19" t="s">
        <v>48</v>
      </c>
    </row>
  </sheetData>
  <mergeCells count="4">
    <mergeCell ref="C2:D2"/>
    <mergeCell ref="E2:F2"/>
    <mergeCell ref="G2:H2"/>
    <mergeCell ref="I2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workbookViewId="0">
      <selection activeCell="H5" sqref="H5"/>
    </sheetView>
  </sheetViews>
  <sheetFormatPr defaultRowHeight="14.4" x14ac:dyDescent="0.3"/>
  <cols>
    <col min="4" max="4" width="11.109375" customWidth="1"/>
    <col min="11" max="11" width="14.5546875" customWidth="1"/>
  </cols>
  <sheetData>
    <row r="1" spans="1:11" ht="15" thickBot="1" x14ac:dyDescent="0.35">
      <c r="A1" s="1" t="s">
        <v>0</v>
      </c>
      <c r="B1" s="1" t="s">
        <v>20</v>
      </c>
    </row>
    <row r="2" spans="1:11" x14ac:dyDescent="0.3">
      <c r="A2" s="1"/>
      <c r="C2" s="40" t="s">
        <v>2</v>
      </c>
      <c r="D2" s="41"/>
      <c r="E2" s="38" t="s">
        <v>3</v>
      </c>
      <c r="F2" s="39"/>
      <c r="G2" s="38" t="s">
        <v>4</v>
      </c>
      <c r="H2" s="39"/>
      <c r="I2" s="38" t="s">
        <v>5</v>
      </c>
      <c r="J2" s="39"/>
    </row>
    <row r="3" spans="1:11" x14ac:dyDescent="0.3">
      <c r="A3" s="2" t="s">
        <v>6</v>
      </c>
      <c r="B3" s="2" t="s">
        <v>7</v>
      </c>
      <c r="C3" s="2" t="s">
        <v>8</v>
      </c>
      <c r="D3" s="3" t="s">
        <v>18</v>
      </c>
      <c r="E3" s="14" t="s">
        <v>9</v>
      </c>
      <c r="F3" s="15" t="s">
        <v>10</v>
      </c>
      <c r="G3" s="14" t="s">
        <v>9</v>
      </c>
      <c r="H3" s="15" t="s">
        <v>10</v>
      </c>
      <c r="I3" s="14" t="s">
        <v>9</v>
      </c>
      <c r="J3" s="15" t="s">
        <v>10</v>
      </c>
    </row>
    <row r="4" spans="1:11" x14ac:dyDescent="0.3">
      <c r="A4" s="2">
        <v>0</v>
      </c>
      <c r="B4" s="2">
        <v>0</v>
      </c>
      <c r="C4" s="2">
        <v>0</v>
      </c>
      <c r="D4" s="4">
        <f>$A$12*$A$14+A4*$B$12+B4*$C$12</f>
        <v>0</v>
      </c>
      <c r="E4" s="16">
        <f>IF(D4&gt;0,1,0)</f>
        <v>0</v>
      </c>
      <c r="F4" s="17">
        <f>(C4-E4)^2</f>
        <v>0</v>
      </c>
      <c r="G4" s="16">
        <f>D4</f>
        <v>0</v>
      </c>
      <c r="H4" s="17">
        <f>(C4-G4)^2</f>
        <v>0</v>
      </c>
      <c r="I4" s="16" t="e">
        <f>1/(1-EXP(1)^(-D4))</f>
        <v>#DIV/0!</v>
      </c>
      <c r="J4" s="17" t="e">
        <f>(C4-I4)^2</f>
        <v>#DIV/0!</v>
      </c>
    </row>
    <row r="5" spans="1:11" x14ac:dyDescent="0.3">
      <c r="A5" s="2">
        <v>1</v>
      </c>
      <c r="B5" s="2">
        <v>0</v>
      </c>
      <c r="C5" s="2">
        <v>1</v>
      </c>
      <c r="D5" s="4">
        <f t="shared" ref="D5:D7" si="0">$A$12*$A$14+A5*$B$12+B5*$C$12</f>
        <v>0.33333333333333348</v>
      </c>
      <c r="E5" s="16">
        <f t="shared" ref="E5:E7" si="1">IF(D5&gt;0,1,0)</f>
        <v>1</v>
      </c>
      <c r="F5" s="17">
        <f t="shared" ref="F5:F7" si="2">(C5-E5)^2</f>
        <v>0</v>
      </c>
      <c r="G5" s="16">
        <f t="shared" ref="G5:G7" si="3">D5</f>
        <v>0.33333333333333348</v>
      </c>
      <c r="H5" s="17">
        <f t="shared" ref="H5:H7" si="4">(C5-G5)^2</f>
        <v>0.44444444444444425</v>
      </c>
      <c r="I5" s="16">
        <f>1/(1-EXP(1)^(-D5))</f>
        <v>3.5277264731571281</v>
      </c>
      <c r="J5" s="17">
        <f t="shared" ref="J5:J7" si="5">(C5-I5)^2</f>
        <v>6.3894011230993737</v>
      </c>
    </row>
    <row r="6" spans="1:11" x14ac:dyDescent="0.3">
      <c r="A6" s="2">
        <v>0</v>
      </c>
      <c r="B6" s="2">
        <v>1</v>
      </c>
      <c r="C6" s="2">
        <v>1</v>
      </c>
      <c r="D6" s="4">
        <f t="shared" si="0"/>
        <v>0.33333333333333348</v>
      </c>
      <c r="E6" s="16">
        <f t="shared" si="1"/>
        <v>1</v>
      </c>
      <c r="F6" s="17">
        <f t="shared" si="2"/>
        <v>0</v>
      </c>
      <c r="G6" s="16">
        <f t="shared" si="3"/>
        <v>0.33333333333333348</v>
      </c>
      <c r="H6" s="17">
        <f t="shared" si="4"/>
        <v>0.44444444444444425</v>
      </c>
      <c r="I6" s="16">
        <f t="shared" ref="I6:I7" si="6">1/(1-EXP(1)^(-D6))</f>
        <v>3.5277264731571281</v>
      </c>
      <c r="J6" s="17">
        <f t="shared" si="5"/>
        <v>6.3894011230993737</v>
      </c>
    </row>
    <row r="7" spans="1:11" ht="15" thickBot="1" x14ac:dyDescent="0.35">
      <c r="A7" s="2">
        <v>1</v>
      </c>
      <c r="B7" s="2">
        <v>1</v>
      </c>
      <c r="C7" s="2">
        <v>0</v>
      </c>
      <c r="D7" s="4">
        <f t="shared" si="0"/>
        <v>0.66666666666666696</v>
      </c>
      <c r="E7" s="16">
        <f t="shared" si="1"/>
        <v>1</v>
      </c>
      <c r="F7" s="17">
        <f t="shared" si="2"/>
        <v>1</v>
      </c>
      <c r="G7" s="16">
        <f t="shared" si="3"/>
        <v>0.66666666666666696</v>
      </c>
      <c r="H7" s="17">
        <f t="shared" si="4"/>
        <v>0.44444444444444486</v>
      </c>
      <c r="I7" s="16">
        <f t="shared" si="6"/>
        <v>2.0551483398097212</v>
      </c>
      <c r="J7" s="17">
        <f t="shared" si="5"/>
        <v>4.2236346986226536</v>
      </c>
    </row>
    <row r="8" spans="1:11" ht="15" thickBot="1" x14ac:dyDescent="0.35">
      <c r="E8" s="18"/>
      <c r="F8" s="19">
        <f>SUM(F4:F7)</f>
        <v>1</v>
      </c>
      <c r="G8" s="20"/>
      <c r="H8" s="19">
        <f>SUM(H4:H7)</f>
        <v>1.3333333333333335</v>
      </c>
      <c r="I8" s="20"/>
      <c r="J8" s="19" t="e">
        <f>SUM(J4:J7)</f>
        <v>#DIV/0!</v>
      </c>
      <c r="K8" s="23" t="s">
        <v>11</v>
      </c>
    </row>
    <row r="9" spans="1:11" x14ac:dyDescent="0.3">
      <c r="J9" s="5"/>
    </row>
    <row r="10" spans="1:11" x14ac:dyDescent="0.3">
      <c r="A10" s="1" t="s">
        <v>12</v>
      </c>
      <c r="J10" s="5"/>
    </row>
    <row r="11" spans="1:11" x14ac:dyDescent="0.3">
      <c r="A11" s="6" t="s">
        <v>13</v>
      </c>
      <c r="B11" s="6" t="s">
        <v>14</v>
      </c>
      <c r="C11" s="6" t="s">
        <v>15</v>
      </c>
    </row>
    <row r="12" spans="1:11" x14ac:dyDescent="0.3">
      <c r="A12" s="13">
        <v>0</v>
      </c>
      <c r="B12" s="13">
        <v>0.33333333333333348</v>
      </c>
      <c r="C12" s="13">
        <v>0.33333333333333348</v>
      </c>
    </row>
    <row r="13" spans="1:11" x14ac:dyDescent="0.3">
      <c r="A13" s="2" t="s">
        <v>16</v>
      </c>
      <c r="B13" s="7"/>
    </row>
    <row r="14" spans="1:11" x14ac:dyDescent="0.3">
      <c r="A14" s="6">
        <v>1</v>
      </c>
      <c r="B14" s="7"/>
    </row>
    <row r="15" spans="1:11" x14ac:dyDescent="0.3">
      <c r="A15" s="7"/>
      <c r="B15" s="7"/>
    </row>
    <row r="16" spans="1:11" x14ac:dyDescent="0.3">
      <c r="A16" s="1" t="s">
        <v>2</v>
      </c>
    </row>
    <row r="17" spans="1:2" x14ac:dyDescent="0.3">
      <c r="A17" t="s">
        <v>3</v>
      </c>
      <c r="B17" t="s">
        <v>46</v>
      </c>
    </row>
    <row r="18" spans="1:2" x14ac:dyDescent="0.3">
      <c r="A18" t="s">
        <v>4</v>
      </c>
      <c r="B18" t="s">
        <v>47</v>
      </c>
    </row>
    <row r="19" spans="1:2" ht="15" x14ac:dyDescent="0.3">
      <c r="A19" t="s">
        <v>17</v>
      </c>
      <c r="B19" t="s">
        <v>48</v>
      </c>
    </row>
  </sheetData>
  <mergeCells count="4">
    <mergeCell ref="C2:D2"/>
    <mergeCell ref="E2:F2"/>
    <mergeCell ref="G2:H2"/>
    <mergeCell ref="I2:J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1"/>
  <sheetViews>
    <sheetView tabSelected="1" zoomScale="97" workbookViewId="0">
      <selection activeCell="G1" sqref="G1:G1048576"/>
    </sheetView>
  </sheetViews>
  <sheetFormatPr defaultRowHeight="14.4" x14ac:dyDescent="0.3"/>
  <cols>
    <col min="3" max="3" width="6.44140625" customWidth="1"/>
    <col min="14" max="14" width="9" customWidth="1"/>
    <col min="16" max="16" width="4.21875" customWidth="1"/>
  </cols>
  <sheetData>
    <row r="1" spans="1:25" x14ac:dyDescent="0.3">
      <c r="A1" s="8" t="s">
        <v>0</v>
      </c>
      <c r="B1" s="1" t="s">
        <v>20</v>
      </c>
      <c r="C1" s="9"/>
      <c r="D1" s="9"/>
      <c r="E1" s="9"/>
      <c r="F1" s="9"/>
      <c r="G1" s="9"/>
      <c r="H1" s="9"/>
      <c r="I1" s="9"/>
      <c r="J1" s="9"/>
      <c r="K1" s="9"/>
      <c r="L1" s="9"/>
      <c r="N1" s="8" t="s">
        <v>12</v>
      </c>
      <c r="O1" s="9"/>
      <c r="S1" s="9"/>
      <c r="T1" s="9"/>
      <c r="U1" s="9"/>
      <c r="V1" s="9"/>
      <c r="W1" s="9"/>
      <c r="X1" s="9"/>
      <c r="Y1" s="9"/>
    </row>
    <row r="2" spans="1:25" ht="15" thickBot="1" x14ac:dyDescent="0.35">
      <c r="A2" s="8"/>
      <c r="B2" s="9"/>
      <c r="C2" s="9"/>
      <c r="F2" s="10"/>
      <c r="G2" s="9"/>
      <c r="H2" s="9"/>
      <c r="I2" s="9"/>
      <c r="J2" s="9"/>
      <c r="K2" s="9"/>
      <c r="L2" s="9"/>
      <c r="N2" s="42" t="s">
        <v>21</v>
      </c>
      <c r="O2" s="43"/>
      <c r="Q2" s="6" t="s">
        <v>30</v>
      </c>
      <c r="R2" s="6" t="s">
        <v>31</v>
      </c>
      <c r="S2" s="6" t="s">
        <v>32</v>
      </c>
    </row>
    <row r="3" spans="1:25" x14ac:dyDescent="0.3">
      <c r="A3" s="6" t="s">
        <v>6</v>
      </c>
      <c r="B3" s="29" t="s">
        <v>7</v>
      </c>
      <c r="C3" s="30" t="s">
        <v>8</v>
      </c>
      <c r="E3" s="30" t="s">
        <v>10</v>
      </c>
      <c r="G3" s="9"/>
      <c r="H3" s="9"/>
      <c r="I3" s="9"/>
      <c r="J3" s="9"/>
      <c r="K3" s="9"/>
      <c r="L3" s="9"/>
      <c r="N3" s="3" t="s">
        <v>18</v>
      </c>
      <c r="O3" s="30" t="s">
        <v>9</v>
      </c>
      <c r="Q3" s="25">
        <v>-5.2336377744126765E+57</v>
      </c>
      <c r="R3" s="25">
        <v>4.7411721375663084E+57</v>
      </c>
      <c r="S3" s="25">
        <v>3.7613078165115204E+57</v>
      </c>
    </row>
    <row r="4" spans="1:25" x14ac:dyDescent="0.3">
      <c r="A4" s="6">
        <v>1</v>
      </c>
      <c r="B4" s="29">
        <v>0</v>
      </c>
      <c r="C4" s="31">
        <v>1</v>
      </c>
      <c r="E4" s="33">
        <f>(C4-O4)^2</f>
        <v>0</v>
      </c>
      <c r="G4" s="9"/>
      <c r="H4" s="9"/>
      <c r="I4" s="9"/>
      <c r="J4" s="9"/>
      <c r="K4" s="9"/>
      <c r="L4" s="9"/>
      <c r="N4" s="11">
        <f>B13*$R$3+$Q$5*$Q$3+O13*$S$3</f>
        <v>3.2688421796651524E+57</v>
      </c>
      <c r="O4" s="12">
        <f>IF(N4&gt;0,1,0)</f>
        <v>1</v>
      </c>
      <c r="Q4" s="6" t="s">
        <v>45</v>
      </c>
      <c r="R4" s="10"/>
      <c r="S4" s="9"/>
    </row>
    <row r="5" spans="1:25" x14ac:dyDescent="0.3">
      <c r="A5" s="6">
        <v>1</v>
      </c>
      <c r="B5" s="29">
        <v>1</v>
      </c>
      <c r="C5" s="31">
        <v>0</v>
      </c>
      <c r="E5" s="33">
        <f t="shared" ref="E5:E7" si="0">(C5-O5)^2</f>
        <v>0</v>
      </c>
      <c r="G5" s="9"/>
      <c r="H5" s="9"/>
      <c r="I5" s="9"/>
      <c r="J5" s="9"/>
      <c r="K5" s="9"/>
      <c r="L5" s="9"/>
      <c r="N5" s="11">
        <f>B14*$R$3+$Q$5*$Q$3+O14*$S$3</f>
        <v>-1.472329957901156E+57</v>
      </c>
      <c r="O5" s="12">
        <f t="shared" ref="O5:O7" si="1">IF(N5&gt;0,1,0)</f>
        <v>0</v>
      </c>
      <c r="Q5" s="6">
        <v>1</v>
      </c>
      <c r="R5" s="10"/>
      <c r="S5" s="9"/>
    </row>
    <row r="6" spans="1:25" x14ac:dyDescent="0.3">
      <c r="A6" s="6">
        <v>0</v>
      </c>
      <c r="B6" s="29">
        <v>0</v>
      </c>
      <c r="C6" s="31">
        <v>0</v>
      </c>
      <c r="E6" s="33">
        <f t="shared" si="0"/>
        <v>0</v>
      </c>
      <c r="G6" s="9"/>
      <c r="H6" s="9"/>
      <c r="I6" s="9"/>
      <c r="J6" s="9"/>
      <c r="K6" s="9"/>
      <c r="L6" s="9"/>
      <c r="M6" s="9"/>
      <c r="N6" s="11">
        <f>B15*$R$3+$Q$5*$Q$3+O15*$S$3</f>
        <v>-4.9246563684636805E+56</v>
      </c>
      <c r="O6" s="12">
        <f t="shared" si="1"/>
        <v>0</v>
      </c>
      <c r="P6" s="9"/>
      <c r="S6" s="9"/>
      <c r="T6" s="9"/>
      <c r="U6" s="9"/>
      <c r="V6" s="9"/>
      <c r="W6" s="9"/>
      <c r="X6" s="9"/>
      <c r="Y6" s="9"/>
    </row>
    <row r="7" spans="1:25" ht="15" thickBot="1" x14ac:dyDescent="0.35">
      <c r="A7" s="6">
        <v>0</v>
      </c>
      <c r="B7" s="29">
        <v>1</v>
      </c>
      <c r="C7" s="32">
        <v>1</v>
      </c>
      <c r="E7" s="33">
        <f t="shared" si="0"/>
        <v>0</v>
      </c>
      <c r="G7" s="9"/>
      <c r="H7" s="9"/>
      <c r="I7" s="9"/>
      <c r="J7" s="9"/>
      <c r="K7" s="9"/>
      <c r="L7" s="9"/>
      <c r="M7" s="9"/>
      <c r="N7" s="11">
        <f>B16*$R$3+$Q$5*$Q$3+O16*$S$3</f>
        <v>3.2688421796651524E+57</v>
      </c>
      <c r="O7" s="12">
        <f t="shared" si="1"/>
        <v>1</v>
      </c>
      <c r="P7" s="9"/>
      <c r="U7" s="9"/>
      <c r="V7" s="9"/>
      <c r="W7" s="9"/>
      <c r="X7" s="9"/>
      <c r="Y7" s="9"/>
    </row>
    <row r="8" spans="1:25" ht="15" thickBot="1" x14ac:dyDescent="0.35">
      <c r="A8" s="10"/>
      <c r="B8" s="10"/>
      <c r="C8" s="10"/>
      <c r="D8" s="9"/>
      <c r="E8" s="34">
        <f>SUM(E4:E7)</f>
        <v>0</v>
      </c>
      <c r="G8" s="9"/>
      <c r="H8" s="9"/>
      <c r="I8" s="9"/>
      <c r="J8" s="9"/>
      <c r="K8" s="9"/>
      <c r="L8" s="9"/>
      <c r="M8" s="9"/>
      <c r="N8" s="9"/>
      <c r="V8" s="9"/>
      <c r="W8" s="9"/>
      <c r="X8" s="9"/>
      <c r="Y8" s="9"/>
    </row>
    <row r="9" spans="1:25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X9" s="9"/>
      <c r="Y9" s="9"/>
    </row>
    <row r="10" spans="1:25" x14ac:dyDescent="0.3">
      <c r="H10" s="10"/>
      <c r="I10" s="10"/>
      <c r="J10" s="10"/>
      <c r="K10" s="10"/>
      <c r="L10" s="10"/>
      <c r="X10" s="9"/>
      <c r="Y10" s="9"/>
    </row>
    <row r="11" spans="1:25" x14ac:dyDescent="0.3">
      <c r="A11" s="44" t="s">
        <v>41</v>
      </c>
      <c r="B11" s="44"/>
      <c r="D11" s="6" t="s">
        <v>24</v>
      </c>
      <c r="E11" s="6" t="s">
        <v>25</v>
      </c>
      <c r="F11" s="6" t="s">
        <v>26</v>
      </c>
      <c r="H11" s="10"/>
      <c r="I11" s="10"/>
      <c r="J11" s="10"/>
      <c r="K11" s="10"/>
      <c r="L11" s="10"/>
      <c r="N11" s="45" t="s">
        <v>42</v>
      </c>
      <c r="O11" s="45"/>
      <c r="Q11" s="6" t="s">
        <v>29</v>
      </c>
      <c r="R11" s="6" t="s">
        <v>27</v>
      </c>
      <c r="S11" s="6" t="s">
        <v>28</v>
      </c>
      <c r="X11" s="9"/>
      <c r="Y11" s="9"/>
    </row>
    <row r="12" spans="1:25" x14ac:dyDescent="0.3">
      <c r="A12" s="3" t="s">
        <v>18</v>
      </c>
      <c r="B12" s="6" t="s">
        <v>43</v>
      </c>
      <c r="D12" s="27">
        <v>-7.3739747961665349E+56</v>
      </c>
      <c r="E12" s="27">
        <v>2.6749510975169321E+58</v>
      </c>
      <c r="F12" s="27">
        <v>-7.3863235179877564E+57</v>
      </c>
      <c r="H12" s="10"/>
      <c r="I12" s="10"/>
      <c r="J12" s="10"/>
      <c r="K12" s="10"/>
      <c r="L12" s="10"/>
      <c r="N12" s="3" t="s">
        <v>18</v>
      </c>
      <c r="O12" s="6" t="s">
        <v>44</v>
      </c>
      <c r="Q12" s="28">
        <v>8.2735814269647489E+57</v>
      </c>
      <c r="R12" s="28">
        <v>1.6105794000758849E+58</v>
      </c>
      <c r="S12" s="28">
        <v>-6.7469955220423157E+57</v>
      </c>
      <c r="X12" s="9"/>
      <c r="Y12" s="9"/>
    </row>
    <row r="13" spans="1:25" x14ac:dyDescent="0.3">
      <c r="A13" s="11">
        <f>B22*$E$12+$D$14*$D$12+O22*$R$12</f>
        <v>1.5368396521142194E+58</v>
      </c>
      <c r="B13" s="12">
        <f>IF(A13&gt;0,1,0)</f>
        <v>1</v>
      </c>
      <c r="D13" s="6" t="s">
        <v>35</v>
      </c>
      <c r="E13" s="10"/>
      <c r="F13" s="9"/>
      <c r="H13" s="10"/>
      <c r="I13" s="10"/>
      <c r="J13" s="10"/>
      <c r="K13" s="10"/>
      <c r="L13" s="10"/>
      <c r="N13" s="11">
        <f>O22*$S$12+$Q$14*$Q$12+B22*$F$12</f>
        <v>1.5265859049224332E+57</v>
      </c>
      <c r="O13" s="12">
        <f>IF(N13&gt;0,1,0)</f>
        <v>1</v>
      </c>
      <c r="Q13" s="6" t="s">
        <v>36</v>
      </c>
      <c r="R13" s="9"/>
      <c r="X13" s="9"/>
      <c r="Y13" s="9"/>
    </row>
    <row r="14" spans="1:25" x14ac:dyDescent="0.3">
      <c r="A14" s="11">
        <f t="shared" ref="A14:A16" si="2">B23*$E$12+$D$14*$D$12+O23*$R$12</f>
        <v>-7.3739747961665349E+56</v>
      </c>
      <c r="B14" s="12">
        <f t="shared" ref="B14:B16" si="3">IF(A14&gt;0,1,0)</f>
        <v>0</v>
      </c>
      <c r="D14" s="6">
        <v>1</v>
      </c>
      <c r="E14" s="10"/>
      <c r="F14" s="9"/>
      <c r="H14" s="10"/>
      <c r="I14" s="10"/>
      <c r="J14" s="10"/>
      <c r="K14" s="10"/>
      <c r="L14" s="10"/>
      <c r="N14" s="11">
        <f>O23*$S$12+$Q$14*$Q$12+B23*$F$12</f>
        <v>8.2735814269647489E+57</v>
      </c>
      <c r="O14" s="12">
        <f t="shared" ref="O14:O16" si="4">IF(N14&gt;0,1,0)</f>
        <v>1</v>
      </c>
      <c r="Q14" s="6">
        <v>1</v>
      </c>
      <c r="R14" s="9"/>
      <c r="X14" s="9"/>
      <c r="Y14" s="9"/>
    </row>
    <row r="15" spans="1:25" x14ac:dyDescent="0.3">
      <c r="A15" s="11">
        <f t="shared" si="2"/>
        <v>4.2117907496311518E+58</v>
      </c>
      <c r="B15" s="12">
        <f t="shared" si="3"/>
        <v>1</v>
      </c>
      <c r="H15" s="10"/>
      <c r="I15" s="10"/>
      <c r="J15" s="10"/>
      <c r="K15" s="10"/>
      <c r="L15" s="10"/>
      <c r="N15" s="11">
        <f t="shared" ref="N15:N16" si="5">O24*$S$12+$Q$14*$Q$12+B24*$F$12</f>
        <v>-5.8597376130653233E+57</v>
      </c>
      <c r="O15" s="12">
        <f t="shared" si="4"/>
        <v>0</v>
      </c>
      <c r="X15" s="9"/>
      <c r="Y15" s="9"/>
    </row>
    <row r="16" spans="1:25" x14ac:dyDescent="0.3">
      <c r="A16" s="11">
        <f t="shared" si="2"/>
        <v>2.6012113495552669E+58</v>
      </c>
      <c r="B16" s="12">
        <f t="shared" si="3"/>
        <v>1</v>
      </c>
      <c r="H16" s="10"/>
      <c r="I16" s="10"/>
      <c r="J16" s="10"/>
      <c r="K16" s="10"/>
      <c r="L16" s="10"/>
      <c r="N16" s="11">
        <f t="shared" si="5"/>
        <v>8.8725790897699243E+56</v>
      </c>
      <c r="O16" s="12">
        <f t="shared" si="4"/>
        <v>1</v>
      </c>
      <c r="X16" s="9"/>
      <c r="Y16" s="9"/>
    </row>
    <row r="17" spans="1:25" x14ac:dyDescent="0.3">
      <c r="A17" s="9"/>
      <c r="B17" s="9"/>
      <c r="C17" s="9"/>
      <c r="D17" s="9"/>
      <c r="E17" s="9"/>
      <c r="H17" s="10"/>
      <c r="I17" s="10"/>
      <c r="J17" s="10"/>
      <c r="K17" s="10"/>
      <c r="L17" s="10"/>
      <c r="X17" s="9"/>
      <c r="Y17" s="9"/>
    </row>
    <row r="18" spans="1:25" x14ac:dyDescent="0.3">
      <c r="E18" s="9"/>
      <c r="F18" s="9"/>
      <c r="G18" s="9"/>
      <c r="H18" s="10"/>
      <c r="I18" s="10"/>
      <c r="J18" s="10"/>
      <c r="K18" s="10"/>
      <c r="L18" s="10"/>
      <c r="V18" s="9"/>
      <c r="W18" s="9"/>
      <c r="X18" s="9"/>
      <c r="Y18" s="9"/>
    </row>
    <row r="19" spans="1:25" x14ac:dyDescent="0.3">
      <c r="E19" s="9"/>
      <c r="F19" s="9"/>
      <c r="G19" s="9"/>
      <c r="H19" s="10"/>
      <c r="I19" s="10"/>
      <c r="J19" s="10"/>
      <c r="K19" s="10"/>
      <c r="L19" s="10"/>
      <c r="X19" s="9"/>
      <c r="Y19" s="9"/>
    </row>
    <row r="20" spans="1:25" x14ac:dyDescent="0.3">
      <c r="A20" s="46" t="s">
        <v>37</v>
      </c>
      <c r="B20" s="46"/>
      <c r="D20" s="6" t="s">
        <v>22</v>
      </c>
      <c r="E20" s="6" t="s">
        <v>14</v>
      </c>
      <c r="F20" s="9"/>
      <c r="G20" s="9"/>
      <c r="H20" s="10"/>
      <c r="I20" s="10"/>
      <c r="J20" s="10"/>
      <c r="K20" s="10"/>
      <c r="L20" s="10"/>
      <c r="N20" s="47" t="s">
        <v>38</v>
      </c>
      <c r="O20" s="47"/>
      <c r="Q20" s="6" t="s">
        <v>23</v>
      </c>
      <c r="R20" s="6" t="s">
        <v>15</v>
      </c>
      <c r="X20" s="9"/>
      <c r="Y20" s="9"/>
    </row>
    <row r="21" spans="1:25" x14ac:dyDescent="0.3">
      <c r="A21" s="3" t="s">
        <v>18</v>
      </c>
      <c r="B21" s="6" t="s">
        <v>39</v>
      </c>
      <c r="D21" s="26">
        <v>6.6294418858349173E+56</v>
      </c>
      <c r="E21" s="26">
        <v>-2.7641779434689954E+57</v>
      </c>
      <c r="F21" s="9"/>
      <c r="G21" s="9"/>
      <c r="H21" s="10"/>
      <c r="I21" s="10"/>
      <c r="J21" s="10"/>
      <c r="K21" s="10"/>
      <c r="L21" s="10"/>
      <c r="N21" s="3" t="s">
        <v>18</v>
      </c>
      <c r="O21" s="6" t="s">
        <v>40</v>
      </c>
      <c r="Q21" s="24">
        <v>3.7282360712968643E+58</v>
      </c>
      <c r="R21" s="24">
        <v>-6.1575113728900803E+58</v>
      </c>
      <c r="X21" s="9"/>
      <c r="Y21" s="9"/>
    </row>
    <row r="22" spans="1:25" x14ac:dyDescent="0.3">
      <c r="A22" s="11">
        <f>A4*$E$21+$D$23*$D$21</f>
        <v>-2.1012337548855037E+57</v>
      </c>
      <c r="B22" s="12">
        <f>IF(A22&gt;0,1,0)</f>
        <v>0</v>
      </c>
      <c r="D22" s="6" t="s">
        <v>33</v>
      </c>
      <c r="E22" s="10"/>
      <c r="F22" s="9"/>
      <c r="G22" s="9"/>
      <c r="H22" s="10"/>
      <c r="I22" s="10"/>
      <c r="J22" s="10"/>
      <c r="K22" s="10"/>
      <c r="L22" s="10"/>
      <c r="N22" s="11">
        <f>B4*$R$21+$Q$23*$Q$21</f>
        <v>3.7282360712968643E+58</v>
      </c>
      <c r="O22" s="12">
        <f>IF(N22&gt;0,1,0)</f>
        <v>1</v>
      </c>
      <c r="P22" s="9"/>
      <c r="Q22" s="6" t="s">
        <v>34</v>
      </c>
      <c r="X22" s="9"/>
      <c r="Y22" s="9"/>
    </row>
    <row r="23" spans="1:25" x14ac:dyDescent="0.3">
      <c r="A23" s="11">
        <f>A5*$E$21+$D$23*$D$21</f>
        <v>-2.1012337548855037E+57</v>
      </c>
      <c r="B23" s="12">
        <f t="shared" ref="B23:B25" si="6">IF(A23&gt;0,1,0)</f>
        <v>0</v>
      </c>
      <c r="D23" s="6">
        <v>1</v>
      </c>
      <c r="E23" s="10"/>
      <c r="F23" s="9"/>
      <c r="G23" s="9"/>
      <c r="H23" s="10"/>
      <c r="I23" s="10"/>
      <c r="J23" s="10"/>
      <c r="K23" s="10"/>
      <c r="L23" s="10"/>
      <c r="N23" s="11">
        <f t="shared" ref="N23:N25" si="7">B5*$R$21+$Q$23*$Q$21</f>
        <v>-2.429275301593216E+58</v>
      </c>
      <c r="O23" s="12">
        <f t="shared" ref="O23:O25" si="8">IF(N23&gt;0,1,0)</f>
        <v>0</v>
      </c>
      <c r="P23" s="9"/>
      <c r="Q23" s="6">
        <v>1</v>
      </c>
      <c r="X23" s="9"/>
      <c r="Y23" s="9"/>
    </row>
    <row r="24" spans="1:25" x14ac:dyDescent="0.3">
      <c r="A24" s="11">
        <f>A6*$E$21+$D$23*$D$21</f>
        <v>6.6294418858349173E+56</v>
      </c>
      <c r="B24" s="12">
        <f t="shared" si="6"/>
        <v>1</v>
      </c>
      <c r="E24" s="9"/>
      <c r="F24" s="9"/>
      <c r="G24" s="9"/>
      <c r="H24" s="10"/>
      <c r="I24" s="10"/>
      <c r="J24" s="10"/>
      <c r="K24" s="10"/>
      <c r="L24" s="10"/>
      <c r="N24" s="11">
        <f t="shared" si="7"/>
        <v>3.7282360712968643E+58</v>
      </c>
      <c r="O24" s="12">
        <f t="shared" si="8"/>
        <v>1</v>
      </c>
      <c r="X24" s="9"/>
      <c r="Y24" s="9"/>
    </row>
    <row r="25" spans="1:25" x14ac:dyDescent="0.3">
      <c r="A25" s="11">
        <f>A7*$E$21+$D$23*$D$21</f>
        <v>6.6294418858349173E+56</v>
      </c>
      <c r="B25" s="12">
        <f t="shared" si="6"/>
        <v>1</v>
      </c>
      <c r="E25" s="9"/>
      <c r="F25" s="9"/>
      <c r="G25" s="9"/>
      <c r="H25" s="9"/>
      <c r="I25" s="9"/>
      <c r="J25" s="9"/>
      <c r="K25" s="9"/>
      <c r="L25" s="9"/>
      <c r="M25" s="9"/>
      <c r="N25" s="11">
        <f t="shared" si="7"/>
        <v>-2.429275301593216E+58</v>
      </c>
      <c r="O25" s="12">
        <f t="shared" si="8"/>
        <v>0</v>
      </c>
      <c r="X25" s="9"/>
      <c r="Y25" s="9"/>
    </row>
    <row r="26" spans="1:25" x14ac:dyDescent="0.3">
      <c r="A26" s="9"/>
      <c r="B26" s="9"/>
      <c r="C26" s="9"/>
      <c r="D26" s="9"/>
      <c r="E26" s="9"/>
      <c r="F26" s="9"/>
      <c r="X26" s="9"/>
      <c r="Y26" s="9"/>
    </row>
    <row r="27" spans="1:25" x14ac:dyDescent="0.3">
      <c r="A27" s="9"/>
      <c r="B27" s="9"/>
      <c r="C27" s="9"/>
      <c r="D27" s="9"/>
      <c r="E27" s="9"/>
      <c r="F27" s="9"/>
      <c r="X27" s="9"/>
      <c r="Y27" s="9"/>
    </row>
    <row r="28" spans="1:25" x14ac:dyDescent="0.3">
      <c r="A28" s="9"/>
      <c r="B28" s="9"/>
      <c r="C28" s="9"/>
      <c r="D28" s="9"/>
      <c r="E28" s="9"/>
      <c r="F28" s="9"/>
      <c r="X28" s="9"/>
      <c r="Y28" s="9"/>
    </row>
    <row r="29" spans="1:25" x14ac:dyDescent="0.3">
      <c r="A29" s="9"/>
      <c r="B29" s="9"/>
      <c r="C29" s="9"/>
      <c r="D29" s="9"/>
      <c r="E29" s="9"/>
      <c r="F29" s="9"/>
      <c r="X29" s="9"/>
      <c r="Y29" s="9"/>
    </row>
    <row r="30" spans="1:25" x14ac:dyDescent="0.3">
      <c r="A30" s="9"/>
      <c r="B30" s="9"/>
      <c r="C30" s="9"/>
      <c r="D30" s="9"/>
      <c r="E30" s="9"/>
      <c r="F30" s="9"/>
      <c r="V30" s="9"/>
      <c r="W30" s="9"/>
      <c r="X30" s="9"/>
      <c r="Y30" s="9"/>
    </row>
    <row r="31" spans="1:25" x14ac:dyDescent="0.3">
      <c r="A31" s="9"/>
      <c r="B31" s="9"/>
      <c r="C31" s="9"/>
      <c r="D31" s="9"/>
      <c r="E31" s="9"/>
      <c r="F31" s="9"/>
      <c r="V31" s="9"/>
      <c r="W31" s="9"/>
      <c r="X31" s="9"/>
      <c r="Y31" s="9"/>
    </row>
  </sheetData>
  <mergeCells count="5">
    <mergeCell ref="N2:O2"/>
    <mergeCell ref="A11:B11"/>
    <mergeCell ref="N11:O11"/>
    <mergeCell ref="A20:B20"/>
    <mergeCell ref="N20:O20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5121" r:id="rId3">
          <objectPr defaultSize="0" autoPict="0" r:id="rId4">
            <anchor moveWithCells="1">
              <from>
                <xdr:col>6</xdr:col>
                <xdr:colOff>304800</xdr:colOff>
                <xdr:row>0</xdr:row>
                <xdr:rowOff>76200</xdr:rowOff>
              </from>
              <to>
                <xdr:col>12</xdr:col>
                <xdr:colOff>274320</xdr:colOff>
                <xdr:row>27</xdr:row>
                <xdr:rowOff>91440</xdr:rowOff>
              </to>
            </anchor>
          </objectPr>
        </oleObject>
      </mc:Choice>
      <mc:Fallback>
        <oleObject progId="Visio.Drawing.15" shapeId="5121" r:id="rId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45C13A0054F3A4F8AEB42CCBC9B3F31" ma:contentTypeVersion="0" ma:contentTypeDescription="Utwórz nowy dokument." ma:contentTypeScope="" ma:versionID="2e02f9cd8e1615059ad02d72cca76b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58407e99af425f499b730f67c7bf4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E0E220-4B63-43B9-9A2B-B7D10E0A60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33D5A7-9B64-4248-B928-A4AD4CB0D9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D76CA63-C459-404D-B381-4587C1AB85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AND</vt:lpstr>
      <vt:lpstr>OR</vt:lpstr>
      <vt:lpstr>XOR</vt:lpstr>
      <vt:lpstr>XOR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Tytyk</dc:creator>
  <cp:lastModifiedBy>Szymon Ziajski</cp:lastModifiedBy>
  <dcterms:created xsi:type="dcterms:W3CDTF">2017-12-19T10:56:27Z</dcterms:created>
  <dcterms:modified xsi:type="dcterms:W3CDTF">2026-03-03T17:07:14Z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0x010100145C13A0054F3A4F8AEB42CCBC9B3F31</vt:lpwstr>
  </property>
</Properties>
</file>